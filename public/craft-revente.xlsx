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l\Documents\"/>
    </mc:Choice>
  </mc:AlternateContent>
  <xr:revisionPtr revIDLastSave="0" documentId="13_ncr:1_{FE158068-A396-4D45-ACA7-CA1CC8735621}" xr6:coauthVersionLast="47" xr6:coauthVersionMax="47" xr10:uidLastSave="{00000000-0000-0000-0000-000000000000}"/>
  <bookViews>
    <workbookView xWindow="38280" yWindow="3015" windowWidth="29040" windowHeight="15720" xr2:uid="{E3D065E9-66FC-4FAC-BB14-2E7F7442C9A2}"/>
  </bookViews>
  <sheets>
    <sheet name="Oruk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" l="1"/>
  <c r="D79" i="1"/>
  <c r="D81" i="1"/>
  <c r="F78" i="1"/>
  <c r="G78" i="1"/>
  <c r="H78" i="1" s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0" i="1"/>
  <c r="G70" i="1"/>
  <c r="H70" i="1"/>
  <c r="F71" i="1"/>
  <c r="G71" i="1"/>
  <c r="H71" i="1"/>
  <c r="F72" i="1"/>
  <c r="G72" i="1"/>
  <c r="H72" i="1"/>
  <c r="G66" i="1"/>
  <c r="H66" i="1" s="1"/>
  <c r="G67" i="1"/>
  <c r="H67" i="1" s="1"/>
  <c r="F65" i="1"/>
  <c r="G65" i="1" s="1"/>
  <c r="H65" i="1" s="1"/>
  <c r="F66" i="1"/>
  <c r="F67" i="1"/>
  <c r="F68" i="1"/>
  <c r="G68" i="1" s="1"/>
  <c r="H68" i="1" s="1"/>
  <c r="F69" i="1"/>
  <c r="G69" i="1" s="1"/>
  <c r="H69" i="1" s="1"/>
  <c r="F63" i="1"/>
  <c r="G63" i="1"/>
  <c r="H63" i="1"/>
  <c r="F64" i="1"/>
  <c r="G64" i="1"/>
  <c r="H64" i="1"/>
  <c r="D51" i="1"/>
  <c r="D50" i="1"/>
  <c r="D49" i="1"/>
  <c r="D48" i="1"/>
  <c r="F58" i="1"/>
  <c r="F59" i="1"/>
  <c r="F60" i="1"/>
  <c r="F61" i="1"/>
  <c r="F62" i="1"/>
  <c r="D59" i="1"/>
  <c r="D60" i="1"/>
  <c r="D61" i="1"/>
  <c r="D62" i="1"/>
  <c r="D58" i="1"/>
  <c r="D3" i="1"/>
  <c r="D4" i="1"/>
  <c r="D5" i="1"/>
  <c r="D6" i="1"/>
  <c r="D2" i="1"/>
  <c r="F3" i="1"/>
  <c r="F4" i="1"/>
  <c r="F5" i="1"/>
  <c r="F6" i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F17" i="1"/>
  <c r="F18" i="1"/>
  <c r="F19" i="1"/>
  <c r="F20" i="1"/>
  <c r="G20" i="1" s="1"/>
  <c r="H20" i="1" s="1"/>
  <c r="F21" i="1"/>
  <c r="G21" i="1" s="1"/>
  <c r="H21" i="1" s="1"/>
  <c r="F22" i="1"/>
  <c r="F23" i="1"/>
  <c r="F24" i="1"/>
  <c r="F25" i="1"/>
  <c r="F26" i="1"/>
  <c r="G26" i="1" s="1"/>
  <c r="H26" i="1" s="1"/>
  <c r="F27" i="1"/>
  <c r="G27" i="1" s="1"/>
  <c r="H27" i="1" s="1"/>
  <c r="F28" i="1"/>
  <c r="F29" i="1"/>
  <c r="G29" i="1" s="1"/>
  <c r="H29" i="1" s="1"/>
  <c r="F30" i="1"/>
  <c r="F31" i="1"/>
  <c r="G31" i="1" s="1"/>
  <c r="H31" i="1" s="1"/>
  <c r="F32" i="1"/>
  <c r="G32" i="1" s="1"/>
  <c r="H32" i="1" s="1"/>
  <c r="F33" i="1"/>
  <c r="G33" i="1" s="1"/>
  <c r="H33" i="1" s="1"/>
  <c r="F34" i="1"/>
  <c r="G34" i="1" s="1"/>
  <c r="H34" i="1" s="1"/>
  <c r="F35" i="1"/>
  <c r="G35" i="1" s="1"/>
  <c r="H35" i="1" s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0" i="1"/>
  <c r="G40" i="1" s="1"/>
  <c r="H40" i="1" s="1"/>
  <c r="F41" i="1"/>
  <c r="G41" i="1" s="1"/>
  <c r="H41" i="1" s="1"/>
  <c r="F42" i="1"/>
  <c r="F43" i="1"/>
  <c r="G43" i="1" s="1"/>
  <c r="H43" i="1" s="1"/>
  <c r="F44" i="1"/>
  <c r="G44" i="1" s="1"/>
  <c r="H44" i="1" s="1"/>
  <c r="F45" i="1"/>
  <c r="F46" i="1"/>
  <c r="G46" i="1" s="1"/>
  <c r="H46" i="1" s="1"/>
  <c r="F47" i="1"/>
  <c r="F48" i="1"/>
  <c r="F49" i="1"/>
  <c r="F50" i="1"/>
  <c r="F51" i="1"/>
  <c r="F52" i="1"/>
  <c r="F53" i="1"/>
  <c r="F54" i="1"/>
  <c r="F55" i="1"/>
  <c r="F56" i="1"/>
  <c r="F57" i="1"/>
  <c r="G57" i="1" s="1"/>
  <c r="H57" i="1" s="1"/>
  <c r="F2" i="1"/>
  <c r="G2" i="1" s="1"/>
  <c r="H2" i="1" s="1"/>
  <c r="G56" i="1"/>
  <c r="H56" i="1" s="1"/>
  <c r="D55" i="1"/>
  <c r="D54" i="1"/>
  <c r="D53" i="1"/>
  <c r="D52" i="1"/>
  <c r="G45" i="1"/>
  <c r="H45" i="1" s="1"/>
  <c r="G49" i="1"/>
  <c r="H49" i="1" s="1"/>
  <c r="G50" i="1"/>
  <c r="H50" i="1" s="1"/>
  <c r="G42" i="1"/>
  <c r="H42" i="1" s="1"/>
  <c r="G5" i="1"/>
  <c r="H5" i="1" s="1"/>
  <c r="G16" i="1"/>
  <c r="H16" i="1" s="1"/>
  <c r="G17" i="1"/>
  <c r="H17" i="1" s="1"/>
  <c r="G18" i="1"/>
  <c r="G19" i="1"/>
  <c r="H19" i="1" s="1"/>
  <c r="G22" i="1"/>
  <c r="H22" i="1" s="1"/>
  <c r="G23" i="1"/>
  <c r="H23" i="1" s="1"/>
  <c r="G24" i="1"/>
  <c r="H24" i="1" s="1"/>
  <c r="G25" i="1"/>
  <c r="H25" i="1" s="1"/>
  <c r="G28" i="1"/>
  <c r="H28" i="1" s="1"/>
  <c r="G30" i="1"/>
  <c r="H30" i="1" s="1"/>
  <c r="G59" i="1" l="1"/>
  <c r="H59" i="1" s="1"/>
  <c r="G60" i="1"/>
  <c r="H60" i="1" s="1"/>
  <c r="G61" i="1"/>
  <c r="H61" i="1" s="1"/>
  <c r="G53" i="1"/>
  <c r="H53" i="1" s="1"/>
  <c r="G3" i="1"/>
  <c r="H3" i="1" s="1"/>
  <c r="G47" i="1"/>
  <c r="H47" i="1" s="1"/>
  <c r="K2" i="1"/>
  <c r="G48" i="1"/>
  <c r="G58" i="1"/>
  <c r="H58" i="1" s="1"/>
  <c r="G62" i="1"/>
  <c r="H62" i="1" s="1"/>
  <c r="G4" i="1"/>
  <c r="H4" i="1" s="1"/>
  <c r="G6" i="1"/>
  <c r="H6" i="1" s="1"/>
  <c r="G51" i="1"/>
  <c r="H51" i="1" s="1"/>
  <c r="H18" i="1"/>
  <c r="G52" i="1"/>
  <c r="H52" i="1" s="1"/>
  <c r="G54" i="1"/>
  <c r="H54" i="1" s="1"/>
  <c r="G55" i="1"/>
  <c r="H55" i="1" s="1"/>
  <c r="H48" i="1" l="1"/>
  <c r="L2" i="1"/>
</calcChain>
</file>

<file path=xl/sharedStrings.xml><?xml version="1.0" encoding="utf-8"?>
<sst xmlns="http://schemas.openxmlformats.org/spreadsheetml/2006/main" count="175" uniqueCount="38">
  <si>
    <t>Date d'achat</t>
  </si>
  <si>
    <t>Item vendu ?</t>
  </si>
  <si>
    <t>Nom de l'item</t>
  </si>
  <si>
    <t>Prix Achat</t>
  </si>
  <si>
    <t>Prix Vente</t>
  </si>
  <si>
    <t>Taxe HDV</t>
  </si>
  <si>
    <t>Profit net</t>
  </si>
  <si>
    <t>Pourcentage</t>
  </si>
  <si>
    <t>Non</t>
  </si>
  <si>
    <t>Bénéfices</t>
  </si>
  <si>
    <t>Coiffe du Minotot</t>
  </si>
  <si>
    <t>Ceinture de l'Amant d'Ha</t>
  </si>
  <si>
    <t>Collier du Minotoror</t>
  </si>
  <si>
    <t>Corbacape Mastralis</t>
  </si>
  <si>
    <t>Dora Bora</t>
  </si>
  <si>
    <t>Les Maidartes</t>
  </si>
  <si>
    <t>Anneau Nobstant</t>
  </si>
  <si>
    <t>Serge Aigrie</t>
  </si>
  <si>
    <t>Pelle du Professeur Xa</t>
  </si>
  <si>
    <t>Epée d'Otomaï</t>
  </si>
  <si>
    <t>Getas de Padgref</t>
  </si>
  <si>
    <t>Coiffe de Padgref</t>
  </si>
  <si>
    <t>Cape au Logis</t>
  </si>
  <si>
    <t>L'Ecu de Danathor</t>
  </si>
  <si>
    <t>Fiole d'Otomaï</t>
  </si>
  <si>
    <t>Investi</t>
  </si>
  <si>
    <t>Amulette Voldelor</t>
  </si>
  <si>
    <t>Ceinture Voldelor</t>
  </si>
  <si>
    <t>Bottes Voldelor</t>
  </si>
  <si>
    <t>Casque en Grithril</t>
  </si>
  <si>
    <t>Oui</t>
  </si>
  <si>
    <t>Notes</t>
  </si>
  <si>
    <t>trans cri</t>
  </si>
  <si>
    <t>trans vi</t>
  </si>
  <si>
    <t>19 do cri</t>
  </si>
  <si>
    <t>over 468vi</t>
  </si>
  <si>
    <t>Ceinture Bine</t>
  </si>
  <si>
    <t>Bottes du Cycloïde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</si>
</sst>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_€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b/>
      <sz val="12"/>
      <color theme="1"/>
      <name val="Roboto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3" fontId="2" fillId="4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3A58-0609-4727-8AF6-893FFFB43A43}">
  <dimension ref="A1:L81"/>
  <sheetViews>
    <sheetView tabSelected="1" topLeftCell="A51" workbookViewId="0">
      <selection activeCell="D85" sqref="D85"/>
    </sheetView>
  </sheetViews>
  <sheetFormatPr baseColWidth="10" defaultColWidth="9.140625" defaultRowHeight="15" x14ac:dyDescent="0.25"/>
  <cols>
    <col min="1" max="2" width="16.5703125" style="7" customWidth="1"/>
    <col min="3" max="3" width="26.28515625" style="7" customWidth="1"/>
    <col min="4" max="5" width="16.5703125" style="6" customWidth="1"/>
    <col min="6" max="8" width="16.5703125" style="7" customWidth="1"/>
    <col min="9" max="9" width="9.5703125" bestFit="1" customWidth="1"/>
    <col min="10" max="11" width="17.42578125" customWidth="1"/>
    <col min="12" max="12" width="15.5703125" customWidth="1"/>
    <col min="13" max="13" width="14.85546875" customWidth="1"/>
  </cols>
  <sheetData>
    <row r="1" spans="1:12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5" t="s">
        <v>31</v>
      </c>
      <c r="K1" s="13" t="s">
        <v>25</v>
      </c>
      <c r="L1" s="13" t="s">
        <v>9</v>
      </c>
    </row>
    <row r="2" spans="1:12" ht="15.75" x14ac:dyDescent="0.25">
      <c r="A2" s="8">
        <v>46039</v>
      </c>
      <c r="B2" s="7" t="s">
        <v>8</v>
      </c>
      <c r="C2" s="9" t="s">
        <v>10</v>
      </c>
      <c r="D2" s="3">
        <f>225000+235000</f>
        <v>460000</v>
      </c>
      <c r="E2" s="3">
        <v>720000</v>
      </c>
      <c r="F2" s="4">
        <f>E2*0.02</f>
        <v>14400</v>
      </c>
      <c r="G2" s="6">
        <f>E2-F2-D2</f>
        <v>245600</v>
      </c>
      <c r="H2" s="10">
        <f>G2/D2</f>
        <v>0.53391304347826085</v>
      </c>
      <c r="K2" s="14">
        <f>SUM(D:D)+SUM(F:F)</f>
        <v>58154664.419999994</v>
      </c>
      <c r="L2" s="12">
        <f>SUM(G:G)</f>
        <v>35540890.579999983</v>
      </c>
    </row>
    <row r="3" spans="1:12" x14ac:dyDescent="0.25">
      <c r="A3" s="8">
        <v>46039</v>
      </c>
      <c r="B3" s="7" t="s">
        <v>8</v>
      </c>
      <c r="C3" s="9" t="s">
        <v>10</v>
      </c>
      <c r="D3" s="3">
        <f t="shared" ref="D3:D6" si="0">225000+235000</f>
        <v>460000</v>
      </c>
      <c r="E3" s="3">
        <v>720000</v>
      </c>
      <c r="F3" s="4">
        <f t="shared" ref="F3:F57" si="1">E3*0.02</f>
        <v>14400</v>
      </c>
      <c r="G3" s="6">
        <f t="shared" ref="G3:G36" si="2">E3-F3-D3</f>
        <v>245600</v>
      </c>
      <c r="H3" s="10">
        <f t="shared" ref="H3:H36" si="3">G3/D3</f>
        <v>0.53391304347826085</v>
      </c>
      <c r="J3" s="1"/>
    </row>
    <row r="4" spans="1:12" x14ac:dyDescent="0.25">
      <c r="A4" s="8">
        <v>46039</v>
      </c>
      <c r="B4" s="7" t="s">
        <v>8</v>
      </c>
      <c r="C4" s="9" t="s">
        <v>10</v>
      </c>
      <c r="D4" s="3">
        <f t="shared" si="0"/>
        <v>460000</v>
      </c>
      <c r="E4" s="3">
        <v>720000</v>
      </c>
      <c r="F4" s="4">
        <f t="shared" si="1"/>
        <v>14400</v>
      </c>
      <c r="G4" s="6">
        <f t="shared" si="2"/>
        <v>245600</v>
      </c>
      <c r="H4" s="10">
        <f t="shared" si="3"/>
        <v>0.53391304347826085</v>
      </c>
      <c r="J4" s="1"/>
    </row>
    <row r="5" spans="1:12" x14ac:dyDescent="0.25">
      <c r="A5" s="8">
        <v>46039</v>
      </c>
      <c r="B5" s="7" t="s">
        <v>8</v>
      </c>
      <c r="C5" s="9" t="s">
        <v>10</v>
      </c>
      <c r="D5" s="3">
        <f t="shared" si="0"/>
        <v>460000</v>
      </c>
      <c r="E5" s="3">
        <v>880000</v>
      </c>
      <c r="F5" s="4">
        <f t="shared" si="1"/>
        <v>17600</v>
      </c>
      <c r="G5" s="6">
        <f t="shared" si="2"/>
        <v>402400</v>
      </c>
      <c r="H5" s="10">
        <f t="shared" si="3"/>
        <v>0.87478260869565216</v>
      </c>
      <c r="J5" s="1"/>
    </row>
    <row r="6" spans="1:12" x14ac:dyDescent="0.25">
      <c r="A6" s="8">
        <v>46039</v>
      </c>
      <c r="B6" s="7" t="s">
        <v>8</v>
      </c>
      <c r="C6" s="9" t="s">
        <v>10</v>
      </c>
      <c r="D6" s="3">
        <f t="shared" si="0"/>
        <v>460000</v>
      </c>
      <c r="E6" s="3">
        <v>880000</v>
      </c>
      <c r="F6" s="4">
        <f t="shared" si="1"/>
        <v>17600</v>
      </c>
      <c r="G6" s="6">
        <f t="shared" si="2"/>
        <v>402400</v>
      </c>
      <c r="H6" s="10">
        <f t="shared" si="3"/>
        <v>0.87478260869565216</v>
      </c>
      <c r="J6" s="1"/>
    </row>
    <row r="7" spans="1:12" x14ac:dyDescent="0.25">
      <c r="A7" s="8">
        <v>46039</v>
      </c>
      <c r="B7" s="7" t="s">
        <v>30</v>
      </c>
      <c r="C7" s="11" t="s">
        <v>11</v>
      </c>
      <c r="D7" s="5">
        <v>75000</v>
      </c>
      <c r="E7" s="5">
        <v>248888</v>
      </c>
      <c r="F7" s="4">
        <f t="shared" si="1"/>
        <v>4977.76</v>
      </c>
      <c r="G7" s="6">
        <f t="shared" si="2"/>
        <v>168910.24</v>
      </c>
      <c r="H7" s="10">
        <f t="shared" si="3"/>
        <v>2.2521365333333332</v>
      </c>
    </row>
    <row r="8" spans="1:12" x14ac:dyDescent="0.25">
      <c r="A8" s="8">
        <v>46039</v>
      </c>
      <c r="B8" s="7" t="s">
        <v>8</v>
      </c>
      <c r="C8" s="11" t="s">
        <v>11</v>
      </c>
      <c r="D8" s="5">
        <v>75000</v>
      </c>
      <c r="E8" s="5">
        <v>213333</v>
      </c>
      <c r="F8" s="4">
        <f t="shared" si="1"/>
        <v>4266.66</v>
      </c>
      <c r="G8" s="6">
        <f t="shared" si="2"/>
        <v>134066.34</v>
      </c>
      <c r="H8" s="10">
        <f t="shared" si="3"/>
        <v>1.7875512</v>
      </c>
    </row>
    <row r="9" spans="1:12" x14ac:dyDescent="0.25">
      <c r="A9" s="8">
        <v>46039</v>
      </c>
      <c r="B9" s="7" t="s">
        <v>8</v>
      </c>
      <c r="C9" s="11" t="s">
        <v>11</v>
      </c>
      <c r="D9" s="5">
        <v>75000</v>
      </c>
      <c r="E9" s="5">
        <v>213333</v>
      </c>
      <c r="F9" s="4">
        <f t="shared" si="1"/>
        <v>4266.66</v>
      </c>
      <c r="G9" s="6">
        <f t="shared" si="2"/>
        <v>134066.34</v>
      </c>
      <c r="H9" s="10">
        <f t="shared" si="3"/>
        <v>1.7875512</v>
      </c>
    </row>
    <row r="10" spans="1:12" x14ac:dyDescent="0.25">
      <c r="A10" s="8">
        <v>46039</v>
      </c>
      <c r="B10" s="7" t="s">
        <v>8</v>
      </c>
      <c r="C10" s="11" t="s">
        <v>11</v>
      </c>
      <c r="D10" s="5">
        <v>75000</v>
      </c>
      <c r="E10" s="5">
        <v>213333</v>
      </c>
      <c r="F10" s="4">
        <f t="shared" si="1"/>
        <v>4266.66</v>
      </c>
      <c r="G10" s="6">
        <f t="shared" si="2"/>
        <v>134066.34</v>
      </c>
      <c r="H10" s="10">
        <f t="shared" si="3"/>
        <v>1.7875512</v>
      </c>
    </row>
    <row r="11" spans="1:12" x14ac:dyDescent="0.25">
      <c r="A11" s="8">
        <v>46039</v>
      </c>
      <c r="B11" s="7" t="s">
        <v>8</v>
      </c>
      <c r="C11" s="11" t="s">
        <v>11</v>
      </c>
      <c r="D11" s="5">
        <v>75000</v>
      </c>
      <c r="E11" s="5">
        <v>213333</v>
      </c>
      <c r="F11" s="4">
        <f t="shared" si="1"/>
        <v>4266.66</v>
      </c>
      <c r="G11" s="6">
        <f t="shared" si="2"/>
        <v>134066.34</v>
      </c>
      <c r="H11" s="10">
        <f t="shared" si="3"/>
        <v>1.7875512</v>
      </c>
    </row>
    <row r="12" spans="1:12" x14ac:dyDescent="0.25">
      <c r="A12" s="8">
        <v>46039</v>
      </c>
      <c r="B12" s="7" t="s">
        <v>8</v>
      </c>
      <c r="C12" s="9" t="s">
        <v>12</v>
      </c>
      <c r="D12" s="6">
        <v>130000</v>
      </c>
      <c r="E12" s="6">
        <v>215555</v>
      </c>
      <c r="F12" s="4">
        <f t="shared" si="1"/>
        <v>4311.1000000000004</v>
      </c>
      <c r="G12" s="6">
        <f t="shared" si="2"/>
        <v>81243.899999999994</v>
      </c>
      <c r="H12" s="10">
        <f t="shared" si="3"/>
        <v>0.62495307692307689</v>
      </c>
    </row>
    <row r="13" spans="1:12" x14ac:dyDescent="0.25">
      <c r="A13" s="8">
        <v>46039</v>
      </c>
      <c r="B13" s="7" t="s">
        <v>8</v>
      </c>
      <c r="C13" s="9" t="s">
        <v>12</v>
      </c>
      <c r="D13" s="6">
        <v>130000</v>
      </c>
      <c r="E13" s="6">
        <v>215555</v>
      </c>
      <c r="F13" s="4">
        <f t="shared" si="1"/>
        <v>4311.1000000000004</v>
      </c>
      <c r="G13" s="6">
        <f t="shared" si="2"/>
        <v>81243.899999999994</v>
      </c>
      <c r="H13" s="10">
        <f t="shared" si="3"/>
        <v>0.62495307692307689</v>
      </c>
    </row>
    <row r="14" spans="1:12" x14ac:dyDescent="0.25">
      <c r="A14" s="8">
        <v>46039</v>
      </c>
      <c r="B14" s="7" t="s">
        <v>8</v>
      </c>
      <c r="C14" s="9" t="s">
        <v>12</v>
      </c>
      <c r="D14" s="6">
        <v>130000</v>
      </c>
      <c r="E14" s="6">
        <v>215555</v>
      </c>
      <c r="F14" s="4">
        <f t="shared" si="1"/>
        <v>4311.1000000000004</v>
      </c>
      <c r="G14" s="6">
        <f t="shared" si="2"/>
        <v>81243.899999999994</v>
      </c>
      <c r="H14" s="10">
        <f t="shared" si="3"/>
        <v>0.62495307692307689</v>
      </c>
    </row>
    <row r="15" spans="1:12" x14ac:dyDescent="0.25">
      <c r="A15" s="8">
        <v>46039</v>
      </c>
      <c r="B15" s="7" t="s">
        <v>8</v>
      </c>
      <c r="C15" s="9" t="s">
        <v>12</v>
      </c>
      <c r="D15" s="6">
        <v>130000</v>
      </c>
      <c r="E15" s="6">
        <v>215555</v>
      </c>
      <c r="F15" s="4">
        <f t="shared" si="1"/>
        <v>4311.1000000000004</v>
      </c>
      <c r="G15" s="6">
        <f t="shared" si="2"/>
        <v>81243.899999999994</v>
      </c>
      <c r="H15" s="10">
        <f t="shared" si="3"/>
        <v>0.62495307692307689</v>
      </c>
    </row>
    <row r="16" spans="1:12" x14ac:dyDescent="0.25">
      <c r="A16" s="8">
        <v>46039</v>
      </c>
      <c r="B16" s="7" t="s">
        <v>8</v>
      </c>
      <c r="C16" s="9" t="s">
        <v>12</v>
      </c>
      <c r="D16" s="6">
        <v>130000</v>
      </c>
      <c r="E16" s="6">
        <v>215555</v>
      </c>
      <c r="F16" s="4">
        <f t="shared" si="1"/>
        <v>4311.1000000000004</v>
      </c>
      <c r="G16" s="6">
        <f t="shared" si="2"/>
        <v>81243.899999999994</v>
      </c>
      <c r="H16" s="10">
        <f t="shared" si="3"/>
        <v>0.62495307692307689</v>
      </c>
    </row>
    <row r="17" spans="1:8" x14ac:dyDescent="0.25">
      <c r="A17" s="8">
        <v>46039</v>
      </c>
      <c r="B17" s="7" t="s">
        <v>30</v>
      </c>
      <c r="C17" s="7" t="s">
        <v>13</v>
      </c>
      <c r="D17" s="6">
        <v>350000</v>
      </c>
      <c r="E17" s="6">
        <v>454444</v>
      </c>
      <c r="F17" s="4">
        <f t="shared" si="1"/>
        <v>9088.880000000001</v>
      </c>
      <c r="G17" s="6">
        <f t="shared" si="2"/>
        <v>95355.12</v>
      </c>
      <c r="H17" s="10">
        <f t="shared" si="3"/>
        <v>0.2724432</v>
      </c>
    </row>
    <row r="18" spans="1:8" x14ac:dyDescent="0.25">
      <c r="A18" s="8">
        <v>46039</v>
      </c>
      <c r="B18" s="7" t="s">
        <v>30</v>
      </c>
      <c r="C18" s="7" t="s">
        <v>13</v>
      </c>
      <c r="D18" s="6">
        <v>350000</v>
      </c>
      <c r="E18" s="6">
        <v>454444</v>
      </c>
      <c r="F18" s="4">
        <f t="shared" si="1"/>
        <v>9088.880000000001</v>
      </c>
      <c r="G18" s="6">
        <f t="shared" si="2"/>
        <v>95355.12</v>
      </c>
      <c r="H18" s="10">
        <f t="shared" si="3"/>
        <v>0.2724432</v>
      </c>
    </row>
    <row r="19" spans="1:8" x14ac:dyDescent="0.25">
      <c r="A19" s="8">
        <v>46039</v>
      </c>
      <c r="B19" s="7" t="s">
        <v>30</v>
      </c>
      <c r="C19" s="7" t="s">
        <v>13</v>
      </c>
      <c r="D19" s="6">
        <v>350000</v>
      </c>
      <c r="E19" s="6">
        <v>454444</v>
      </c>
      <c r="F19" s="4">
        <f t="shared" si="1"/>
        <v>9088.880000000001</v>
      </c>
      <c r="G19" s="6">
        <f t="shared" si="2"/>
        <v>95355.12</v>
      </c>
      <c r="H19" s="10">
        <f t="shared" si="3"/>
        <v>0.2724432</v>
      </c>
    </row>
    <row r="20" spans="1:8" x14ac:dyDescent="0.25">
      <c r="A20" s="8">
        <v>46039</v>
      </c>
      <c r="B20" s="7" t="s">
        <v>8</v>
      </c>
      <c r="C20" s="7" t="s">
        <v>13</v>
      </c>
      <c r="D20" s="6">
        <v>350000</v>
      </c>
      <c r="E20" s="6">
        <v>444444</v>
      </c>
      <c r="F20" s="4">
        <f t="shared" si="1"/>
        <v>8888.880000000001</v>
      </c>
      <c r="G20" s="6">
        <f t="shared" si="2"/>
        <v>85555.12</v>
      </c>
      <c r="H20" s="10">
        <f t="shared" si="3"/>
        <v>0.2444432</v>
      </c>
    </row>
    <row r="21" spans="1:8" x14ac:dyDescent="0.25">
      <c r="A21" s="8">
        <v>46039</v>
      </c>
      <c r="B21" s="7" t="s">
        <v>8</v>
      </c>
      <c r="C21" s="7" t="s">
        <v>13</v>
      </c>
      <c r="D21" s="6">
        <v>350000</v>
      </c>
      <c r="E21" s="6">
        <v>444444</v>
      </c>
      <c r="F21" s="4">
        <f t="shared" si="1"/>
        <v>8888.880000000001</v>
      </c>
      <c r="G21" s="6">
        <f t="shared" si="2"/>
        <v>85555.12</v>
      </c>
      <c r="H21" s="10">
        <f t="shared" si="3"/>
        <v>0.2444432</v>
      </c>
    </row>
    <row r="22" spans="1:8" x14ac:dyDescent="0.25">
      <c r="A22" s="8">
        <v>46039</v>
      </c>
      <c r="B22" s="7" t="s">
        <v>30</v>
      </c>
      <c r="C22" s="7" t="s">
        <v>14</v>
      </c>
      <c r="D22" s="6">
        <v>160000</v>
      </c>
      <c r="E22" s="6">
        <v>254000</v>
      </c>
      <c r="F22" s="4">
        <f t="shared" si="1"/>
        <v>5080</v>
      </c>
      <c r="G22" s="6">
        <f t="shared" si="2"/>
        <v>88920</v>
      </c>
      <c r="H22" s="10">
        <f t="shared" si="3"/>
        <v>0.55574999999999997</v>
      </c>
    </row>
    <row r="23" spans="1:8" x14ac:dyDescent="0.25">
      <c r="A23" s="8">
        <v>46039</v>
      </c>
      <c r="B23" s="7" t="s">
        <v>30</v>
      </c>
      <c r="C23" s="7" t="s">
        <v>14</v>
      </c>
      <c r="D23" s="6">
        <v>160000</v>
      </c>
      <c r="E23" s="6">
        <v>254000</v>
      </c>
      <c r="F23" s="4">
        <f t="shared" si="1"/>
        <v>5080</v>
      </c>
      <c r="G23" s="6">
        <f t="shared" si="2"/>
        <v>88920</v>
      </c>
      <c r="H23" s="10">
        <f t="shared" si="3"/>
        <v>0.55574999999999997</v>
      </c>
    </row>
    <row r="24" spans="1:8" x14ac:dyDescent="0.25">
      <c r="A24" s="8">
        <v>46039</v>
      </c>
      <c r="B24" s="7" t="s">
        <v>30</v>
      </c>
      <c r="C24" s="7" t="s">
        <v>14</v>
      </c>
      <c r="D24" s="6">
        <v>160000</v>
      </c>
      <c r="E24" s="6">
        <v>254000</v>
      </c>
      <c r="F24" s="4">
        <f t="shared" si="1"/>
        <v>5080</v>
      </c>
      <c r="G24" s="6">
        <f t="shared" si="2"/>
        <v>88920</v>
      </c>
      <c r="H24" s="10">
        <f t="shared" si="3"/>
        <v>0.55574999999999997</v>
      </c>
    </row>
    <row r="25" spans="1:8" x14ac:dyDescent="0.25">
      <c r="A25" s="8">
        <v>46039</v>
      </c>
      <c r="B25" s="7" t="s">
        <v>30</v>
      </c>
      <c r="C25" s="7" t="s">
        <v>14</v>
      </c>
      <c r="D25" s="6">
        <v>160000</v>
      </c>
      <c r="E25" s="6">
        <v>254000</v>
      </c>
      <c r="F25" s="4">
        <f t="shared" si="1"/>
        <v>5080</v>
      </c>
      <c r="G25" s="6">
        <f t="shared" si="2"/>
        <v>88920</v>
      </c>
      <c r="H25" s="10">
        <f t="shared" si="3"/>
        <v>0.55574999999999997</v>
      </c>
    </row>
    <row r="26" spans="1:8" x14ac:dyDescent="0.25">
      <c r="A26" s="8">
        <v>46039</v>
      </c>
      <c r="B26" s="7" t="s">
        <v>30</v>
      </c>
      <c r="C26" s="7" t="s">
        <v>14</v>
      </c>
      <c r="D26" s="6">
        <v>160000</v>
      </c>
      <c r="E26" s="6">
        <v>251111</v>
      </c>
      <c r="F26" s="4">
        <f t="shared" si="1"/>
        <v>5022.22</v>
      </c>
      <c r="G26" s="6">
        <f t="shared" si="2"/>
        <v>86088.78</v>
      </c>
      <c r="H26" s="10">
        <f t="shared" si="3"/>
        <v>0.53805487500000004</v>
      </c>
    </row>
    <row r="27" spans="1:8" x14ac:dyDescent="0.25">
      <c r="A27" s="8">
        <v>46039</v>
      </c>
      <c r="B27" s="7" t="s">
        <v>30</v>
      </c>
      <c r="C27" s="7" t="s">
        <v>15</v>
      </c>
      <c r="D27" s="6">
        <v>330000</v>
      </c>
      <c r="E27" s="6">
        <v>444444</v>
      </c>
      <c r="F27" s="4">
        <f t="shared" si="1"/>
        <v>8888.880000000001</v>
      </c>
      <c r="G27" s="6">
        <f t="shared" si="2"/>
        <v>105555.12</v>
      </c>
      <c r="H27" s="10">
        <f t="shared" si="3"/>
        <v>0.31986399999999998</v>
      </c>
    </row>
    <row r="28" spans="1:8" x14ac:dyDescent="0.25">
      <c r="A28" s="8">
        <v>46039</v>
      </c>
      <c r="B28" s="7" t="s">
        <v>30</v>
      </c>
      <c r="C28" s="7" t="s">
        <v>15</v>
      </c>
      <c r="D28" s="6">
        <v>330000</v>
      </c>
      <c r="E28" s="6">
        <v>444444</v>
      </c>
      <c r="F28" s="4">
        <f t="shared" si="1"/>
        <v>8888.880000000001</v>
      </c>
      <c r="G28" s="6">
        <f t="shared" si="2"/>
        <v>105555.12</v>
      </c>
      <c r="H28" s="10">
        <f t="shared" si="3"/>
        <v>0.31986399999999998</v>
      </c>
    </row>
    <row r="29" spans="1:8" x14ac:dyDescent="0.25">
      <c r="A29" s="8">
        <v>46039</v>
      </c>
      <c r="B29" s="7" t="s">
        <v>30</v>
      </c>
      <c r="C29" s="7" t="s">
        <v>16</v>
      </c>
      <c r="D29" s="6">
        <v>95000</v>
      </c>
      <c r="E29" s="6">
        <v>133333</v>
      </c>
      <c r="F29" s="4">
        <f t="shared" si="1"/>
        <v>2666.66</v>
      </c>
      <c r="G29" s="6">
        <f t="shared" si="2"/>
        <v>35666.339999999997</v>
      </c>
      <c r="H29" s="10">
        <f t="shared" si="3"/>
        <v>0.3754351578947368</v>
      </c>
    </row>
    <row r="30" spans="1:8" x14ac:dyDescent="0.25">
      <c r="A30" s="8">
        <v>46039</v>
      </c>
      <c r="B30" s="7" t="s">
        <v>30</v>
      </c>
      <c r="C30" s="7" t="s">
        <v>16</v>
      </c>
      <c r="D30" s="6">
        <v>95000</v>
      </c>
      <c r="E30" s="6">
        <v>133333</v>
      </c>
      <c r="F30" s="4">
        <f t="shared" si="1"/>
        <v>2666.66</v>
      </c>
      <c r="G30" s="6">
        <f t="shared" si="2"/>
        <v>35666.339999999997</v>
      </c>
      <c r="H30" s="10">
        <f t="shared" si="3"/>
        <v>0.3754351578947368</v>
      </c>
    </row>
    <row r="31" spans="1:8" x14ac:dyDescent="0.25">
      <c r="A31" s="8">
        <v>46039</v>
      </c>
      <c r="B31" s="7" t="s">
        <v>30</v>
      </c>
      <c r="C31" s="7" t="s">
        <v>16</v>
      </c>
      <c r="D31" s="6">
        <v>95000</v>
      </c>
      <c r="E31" s="6">
        <v>133333</v>
      </c>
      <c r="F31" s="4">
        <f t="shared" si="1"/>
        <v>2666.66</v>
      </c>
      <c r="G31" s="6">
        <f t="shared" si="2"/>
        <v>35666.339999999997</v>
      </c>
      <c r="H31" s="10">
        <f t="shared" si="3"/>
        <v>0.3754351578947368</v>
      </c>
    </row>
    <row r="32" spans="1:8" x14ac:dyDescent="0.25">
      <c r="A32" s="8">
        <v>46039</v>
      </c>
      <c r="B32" s="7" t="s">
        <v>30</v>
      </c>
      <c r="C32" s="7" t="s">
        <v>16</v>
      </c>
      <c r="D32" s="6">
        <v>95000</v>
      </c>
      <c r="E32" s="6">
        <v>133333</v>
      </c>
      <c r="F32" s="4">
        <f t="shared" si="1"/>
        <v>2666.66</v>
      </c>
      <c r="G32" s="6">
        <f t="shared" si="2"/>
        <v>35666.339999999997</v>
      </c>
      <c r="H32" s="10">
        <f t="shared" si="3"/>
        <v>0.3754351578947368</v>
      </c>
    </row>
    <row r="33" spans="1:9" x14ac:dyDescent="0.25">
      <c r="A33" s="8">
        <v>46039</v>
      </c>
      <c r="B33" s="7" t="s">
        <v>8</v>
      </c>
      <c r="C33" s="7" t="s">
        <v>16</v>
      </c>
      <c r="D33" s="6">
        <v>95000</v>
      </c>
      <c r="E33" s="6">
        <v>133333</v>
      </c>
      <c r="F33" s="4">
        <f t="shared" si="1"/>
        <v>2666.66</v>
      </c>
      <c r="G33" s="6">
        <f t="shared" si="2"/>
        <v>35666.339999999997</v>
      </c>
      <c r="H33" s="10">
        <f t="shared" si="3"/>
        <v>0.3754351578947368</v>
      </c>
    </row>
    <row r="34" spans="1:9" x14ac:dyDescent="0.25">
      <c r="A34" s="8">
        <v>46039</v>
      </c>
      <c r="B34" s="7" t="s">
        <v>8</v>
      </c>
      <c r="C34" s="7" t="s">
        <v>17</v>
      </c>
      <c r="D34" s="6">
        <v>950000</v>
      </c>
      <c r="E34" s="6">
        <v>2411111</v>
      </c>
      <c r="F34" s="4">
        <f t="shared" si="1"/>
        <v>48222.22</v>
      </c>
      <c r="G34" s="6">
        <f t="shared" si="2"/>
        <v>1412888.7799999998</v>
      </c>
      <c r="H34" s="10">
        <f t="shared" si="3"/>
        <v>1.4872513473684208</v>
      </c>
    </row>
    <row r="35" spans="1:9" x14ac:dyDescent="0.25">
      <c r="A35" s="8">
        <v>46039</v>
      </c>
      <c r="B35" s="7" t="s">
        <v>8</v>
      </c>
      <c r="C35" s="7" t="s">
        <v>17</v>
      </c>
      <c r="D35" s="6">
        <v>950000</v>
      </c>
      <c r="E35" s="6">
        <v>2400000</v>
      </c>
      <c r="F35" s="4">
        <f t="shared" si="1"/>
        <v>48000</v>
      </c>
      <c r="G35" s="6">
        <f t="shared" si="2"/>
        <v>1402000</v>
      </c>
      <c r="H35" s="10">
        <f t="shared" si="3"/>
        <v>1.4757894736842105</v>
      </c>
    </row>
    <row r="36" spans="1:9" x14ac:dyDescent="0.25">
      <c r="A36" s="8">
        <v>46039</v>
      </c>
      <c r="B36" s="7" t="s">
        <v>8</v>
      </c>
      <c r="C36" s="7" t="s">
        <v>18</v>
      </c>
      <c r="D36" s="6">
        <v>690000</v>
      </c>
      <c r="E36" s="6">
        <v>1099999</v>
      </c>
      <c r="F36" s="4">
        <f t="shared" si="1"/>
        <v>21999.98</v>
      </c>
      <c r="G36" s="6">
        <f t="shared" si="2"/>
        <v>387999.02</v>
      </c>
      <c r="H36" s="10">
        <f t="shared" si="3"/>
        <v>0.5623174202898551</v>
      </c>
    </row>
    <row r="37" spans="1:9" x14ac:dyDescent="0.25">
      <c r="A37" s="8">
        <v>46039</v>
      </c>
      <c r="B37" s="7" t="s">
        <v>8</v>
      </c>
      <c r="C37" s="7" t="s">
        <v>18</v>
      </c>
      <c r="D37" s="6">
        <v>690000</v>
      </c>
      <c r="E37" s="6">
        <v>1099999</v>
      </c>
      <c r="F37" s="4">
        <f t="shared" si="1"/>
        <v>21999.98</v>
      </c>
      <c r="G37" s="6">
        <f t="shared" ref="G37:G43" si="4">E37-F37-D37</f>
        <v>387999.02</v>
      </c>
      <c r="H37" s="10">
        <f t="shared" ref="H37:H43" si="5">G37/D37</f>
        <v>0.5623174202898551</v>
      </c>
    </row>
    <row r="38" spans="1:9" x14ac:dyDescent="0.25">
      <c r="A38" s="8">
        <v>46039</v>
      </c>
      <c r="B38" s="7" t="s">
        <v>8</v>
      </c>
      <c r="C38" s="7" t="s">
        <v>19</v>
      </c>
      <c r="D38" s="6">
        <v>450000</v>
      </c>
      <c r="E38" s="6">
        <v>1333333</v>
      </c>
      <c r="F38" s="4">
        <f t="shared" si="1"/>
        <v>26666.66</v>
      </c>
      <c r="G38" s="6">
        <f t="shared" si="4"/>
        <v>856666.34000000008</v>
      </c>
      <c r="H38" s="10">
        <f t="shared" si="5"/>
        <v>1.9037029777777779</v>
      </c>
      <c r="I38" t="s">
        <v>33</v>
      </c>
    </row>
    <row r="39" spans="1:9" x14ac:dyDescent="0.25">
      <c r="A39" s="8">
        <v>46039</v>
      </c>
      <c r="B39" s="7" t="s">
        <v>8</v>
      </c>
      <c r="C39" s="7" t="s">
        <v>19</v>
      </c>
      <c r="D39" s="6">
        <v>450000</v>
      </c>
      <c r="E39" s="6">
        <v>1333333</v>
      </c>
      <c r="F39" s="4">
        <f t="shared" si="1"/>
        <v>26666.66</v>
      </c>
      <c r="G39" s="6">
        <f t="shared" si="4"/>
        <v>856666.34000000008</v>
      </c>
      <c r="H39" s="10">
        <f t="shared" si="5"/>
        <v>1.9037029777777779</v>
      </c>
      <c r="I39" t="s">
        <v>32</v>
      </c>
    </row>
    <row r="40" spans="1:9" x14ac:dyDescent="0.25">
      <c r="A40" s="8">
        <v>46039</v>
      </c>
      <c r="B40" s="7" t="s">
        <v>8</v>
      </c>
      <c r="C40" s="7" t="s">
        <v>20</v>
      </c>
      <c r="D40" s="6">
        <v>1300000</v>
      </c>
      <c r="E40" s="6">
        <v>2150000</v>
      </c>
      <c r="F40" s="4">
        <f t="shared" si="1"/>
        <v>43000</v>
      </c>
      <c r="G40" s="6">
        <f t="shared" si="4"/>
        <v>807000</v>
      </c>
      <c r="H40" s="10">
        <f t="shared" si="5"/>
        <v>0.62076923076923074</v>
      </c>
      <c r="I40" t="s">
        <v>34</v>
      </c>
    </row>
    <row r="41" spans="1:9" x14ac:dyDescent="0.25">
      <c r="A41" s="8">
        <v>46039</v>
      </c>
      <c r="B41" s="7" t="s">
        <v>8</v>
      </c>
      <c r="C41" s="7" t="s">
        <v>20</v>
      </c>
      <c r="D41" s="6">
        <v>1300000</v>
      </c>
      <c r="E41" s="6">
        <v>2800000</v>
      </c>
      <c r="F41" s="4">
        <f t="shared" si="1"/>
        <v>56000</v>
      </c>
      <c r="G41" s="6">
        <f t="shared" si="4"/>
        <v>1444000</v>
      </c>
      <c r="H41" s="10">
        <f t="shared" si="5"/>
        <v>1.1107692307692307</v>
      </c>
    </row>
    <row r="42" spans="1:9" x14ac:dyDescent="0.25">
      <c r="A42" s="8">
        <v>46039</v>
      </c>
      <c r="B42" s="7" t="s">
        <v>8</v>
      </c>
      <c r="C42" s="7" t="s">
        <v>20</v>
      </c>
      <c r="D42" s="6">
        <v>1300000</v>
      </c>
      <c r="E42" s="6">
        <v>2800000</v>
      </c>
      <c r="F42" s="4">
        <f t="shared" si="1"/>
        <v>56000</v>
      </c>
      <c r="G42" s="6">
        <f t="shared" si="4"/>
        <v>1444000</v>
      </c>
      <c r="H42" s="10">
        <f t="shared" si="5"/>
        <v>1.1107692307692307</v>
      </c>
    </row>
    <row r="43" spans="1:9" x14ac:dyDescent="0.25">
      <c r="A43" s="8">
        <v>46039</v>
      </c>
      <c r="B43" s="7" t="s">
        <v>30</v>
      </c>
      <c r="C43" s="7" t="s">
        <v>21</v>
      </c>
      <c r="D43" s="6">
        <v>1220000</v>
      </c>
      <c r="E43" s="6">
        <v>1922222</v>
      </c>
      <c r="F43" s="4">
        <f t="shared" si="1"/>
        <v>38444.44</v>
      </c>
      <c r="G43" s="6">
        <f t="shared" si="4"/>
        <v>663777.56000000006</v>
      </c>
      <c r="H43" s="10">
        <f t="shared" si="5"/>
        <v>0.5440799672131148</v>
      </c>
    </row>
    <row r="44" spans="1:9" x14ac:dyDescent="0.25">
      <c r="A44" s="8">
        <v>46039</v>
      </c>
      <c r="B44" s="7" t="s">
        <v>30</v>
      </c>
      <c r="C44" s="7" t="s">
        <v>21</v>
      </c>
      <c r="D44" s="6">
        <v>1220000</v>
      </c>
      <c r="E44" s="6">
        <v>1950000</v>
      </c>
      <c r="F44" s="4">
        <f t="shared" si="1"/>
        <v>39000</v>
      </c>
      <c r="G44" s="6">
        <f t="shared" ref="G44:G51" si="6">E44-F44-D44</f>
        <v>691000</v>
      </c>
      <c r="H44" s="10">
        <f t="shared" ref="H44:H51" si="7">G44/D44</f>
        <v>0.56639344262295077</v>
      </c>
    </row>
    <row r="45" spans="1:9" x14ac:dyDescent="0.25">
      <c r="A45" s="8">
        <v>46039</v>
      </c>
      <c r="B45" s="7" t="s">
        <v>30</v>
      </c>
      <c r="C45" s="7" t="s">
        <v>21</v>
      </c>
      <c r="D45" s="6">
        <v>1220000</v>
      </c>
      <c r="E45" s="6">
        <v>1950000</v>
      </c>
      <c r="F45" s="4">
        <f t="shared" si="1"/>
        <v>39000</v>
      </c>
      <c r="G45" s="6">
        <f t="shared" si="6"/>
        <v>691000</v>
      </c>
      <c r="H45" s="10">
        <f t="shared" si="7"/>
        <v>0.56639344262295077</v>
      </c>
    </row>
    <row r="46" spans="1:9" x14ac:dyDescent="0.25">
      <c r="A46" s="8">
        <v>46039</v>
      </c>
      <c r="B46" s="7" t="s">
        <v>8</v>
      </c>
      <c r="C46" s="7" t="s">
        <v>22</v>
      </c>
      <c r="D46" s="6">
        <v>970000</v>
      </c>
      <c r="E46" s="6">
        <v>2788888</v>
      </c>
      <c r="F46" s="4">
        <f t="shared" si="1"/>
        <v>55777.760000000002</v>
      </c>
      <c r="G46" s="6">
        <f t="shared" si="6"/>
        <v>1763110.2400000002</v>
      </c>
      <c r="H46" s="10">
        <f t="shared" si="7"/>
        <v>1.8176394226804127</v>
      </c>
    </row>
    <row r="47" spans="1:9" x14ac:dyDescent="0.25">
      <c r="A47" s="8">
        <v>46039</v>
      </c>
      <c r="B47" s="7" t="s">
        <v>8</v>
      </c>
      <c r="C47" s="7" t="s">
        <v>22</v>
      </c>
      <c r="D47" s="6">
        <v>970000</v>
      </c>
      <c r="E47" s="6">
        <v>2811111</v>
      </c>
      <c r="F47" s="4">
        <f t="shared" si="1"/>
        <v>56222.22</v>
      </c>
      <c r="G47" s="6">
        <f t="shared" si="6"/>
        <v>1784888.7799999998</v>
      </c>
      <c r="H47" s="10">
        <f t="shared" si="7"/>
        <v>1.8400915257731956</v>
      </c>
    </row>
    <row r="48" spans="1:9" x14ac:dyDescent="0.25">
      <c r="A48" s="8">
        <v>46039</v>
      </c>
      <c r="B48" s="7" t="s">
        <v>8</v>
      </c>
      <c r="C48" s="7" t="s">
        <v>23</v>
      </c>
      <c r="D48" s="6">
        <f>1300000+240000</f>
        <v>1540000</v>
      </c>
      <c r="E48" s="6">
        <v>2488888</v>
      </c>
      <c r="F48" s="4">
        <f t="shared" si="1"/>
        <v>49777.760000000002</v>
      </c>
      <c r="G48" s="6">
        <f t="shared" si="6"/>
        <v>899110.24000000022</v>
      </c>
      <c r="H48" s="10">
        <f t="shared" si="7"/>
        <v>0.58383781818181835</v>
      </c>
    </row>
    <row r="49" spans="1:9" x14ac:dyDescent="0.25">
      <c r="A49" s="8">
        <v>46039</v>
      </c>
      <c r="B49" s="7" t="s">
        <v>8</v>
      </c>
      <c r="C49" s="7" t="s">
        <v>23</v>
      </c>
      <c r="D49" s="6">
        <f>1300000+240000</f>
        <v>1540000</v>
      </c>
      <c r="E49" s="6">
        <v>2488888</v>
      </c>
      <c r="F49" s="4">
        <f t="shared" si="1"/>
        <v>49777.760000000002</v>
      </c>
      <c r="G49" s="6">
        <f t="shared" si="6"/>
        <v>899110.24000000022</v>
      </c>
      <c r="H49" s="10">
        <f t="shared" si="7"/>
        <v>0.58383781818181835</v>
      </c>
    </row>
    <row r="50" spans="1:9" x14ac:dyDescent="0.25">
      <c r="A50" s="8">
        <v>46039</v>
      </c>
      <c r="B50" s="7" t="s">
        <v>30</v>
      </c>
      <c r="C50" s="7" t="s">
        <v>24</v>
      </c>
      <c r="D50" s="6">
        <f>1150000+180000</f>
        <v>1330000</v>
      </c>
      <c r="E50" s="6">
        <v>1544444</v>
      </c>
      <c r="F50" s="4">
        <f t="shared" si="1"/>
        <v>30888.880000000001</v>
      </c>
      <c r="G50" s="6">
        <f t="shared" si="6"/>
        <v>183555.12000000011</v>
      </c>
      <c r="H50" s="10">
        <f t="shared" si="7"/>
        <v>0.13801136842105272</v>
      </c>
    </row>
    <row r="51" spans="1:9" x14ac:dyDescent="0.25">
      <c r="A51" s="8">
        <v>46039</v>
      </c>
      <c r="B51" s="7" t="s">
        <v>30</v>
      </c>
      <c r="C51" s="7" t="s">
        <v>24</v>
      </c>
      <c r="D51" s="6">
        <f>1150000+180000</f>
        <v>1330000</v>
      </c>
      <c r="E51" s="6">
        <v>1544444</v>
      </c>
      <c r="F51" s="4">
        <f t="shared" si="1"/>
        <v>30888.880000000001</v>
      </c>
      <c r="G51" s="6">
        <f t="shared" si="6"/>
        <v>183555.12000000011</v>
      </c>
      <c r="H51" s="10">
        <f t="shared" si="7"/>
        <v>0.13801136842105272</v>
      </c>
    </row>
    <row r="52" spans="1:9" x14ac:dyDescent="0.25">
      <c r="A52" s="8">
        <v>46039</v>
      </c>
      <c r="B52" s="7" t="s">
        <v>30</v>
      </c>
      <c r="C52" s="7" t="s">
        <v>26</v>
      </c>
      <c r="D52" s="6">
        <f>(12800030-9861912)/2+950000</f>
        <v>2419059</v>
      </c>
      <c r="E52" s="6">
        <v>3900000</v>
      </c>
      <c r="F52" s="4">
        <f t="shared" si="1"/>
        <v>78000</v>
      </c>
      <c r="G52" s="6">
        <f t="shared" ref="G52:G55" si="8">E52-F52-D52</f>
        <v>1402941</v>
      </c>
      <c r="H52" s="10">
        <f t="shared" ref="H52:H55" si="9">G52/D52</f>
        <v>0.5799531966768896</v>
      </c>
    </row>
    <row r="53" spans="1:9" x14ac:dyDescent="0.25">
      <c r="A53" s="8">
        <v>46039</v>
      </c>
      <c r="B53" s="7" t="s">
        <v>8</v>
      </c>
      <c r="C53" s="7" t="s">
        <v>26</v>
      </c>
      <c r="D53" s="6">
        <f>(12800030-9861912)/2+950000</f>
        <v>2419059</v>
      </c>
      <c r="E53" s="6">
        <v>4111111</v>
      </c>
      <c r="F53" s="4">
        <f t="shared" si="1"/>
        <v>82222.22</v>
      </c>
      <c r="G53" s="6">
        <f t="shared" si="8"/>
        <v>1609829.7799999998</v>
      </c>
      <c r="H53" s="10">
        <f t="shared" si="9"/>
        <v>0.66547768367782667</v>
      </c>
    </row>
    <row r="54" spans="1:9" x14ac:dyDescent="0.25">
      <c r="A54" s="8">
        <v>46039</v>
      </c>
      <c r="B54" s="7" t="s">
        <v>8</v>
      </c>
      <c r="C54" s="7" t="s">
        <v>27</v>
      </c>
      <c r="D54" s="6">
        <f>(9861912-5701505)/2+950000</f>
        <v>3030203.5</v>
      </c>
      <c r="E54" s="6">
        <v>4300000</v>
      </c>
      <c r="F54" s="4">
        <f t="shared" si="1"/>
        <v>86000</v>
      </c>
      <c r="G54" s="6">
        <f t="shared" si="8"/>
        <v>1183796.5</v>
      </c>
      <c r="H54" s="10">
        <f t="shared" si="9"/>
        <v>0.39066567641414185</v>
      </c>
    </row>
    <row r="55" spans="1:9" x14ac:dyDescent="0.25">
      <c r="A55" s="8">
        <v>46039</v>
      </c>
      <c r="B55" s="7" t="s">
        <v>8</v>
      </c>
      <c r="C55" s="7" t="s">
        <v>27</v>
      </c>
      <c r="D55" s="6">
        <f>(9861912-5701505)/2+950000</f>
        <v>3030203.5</v>
      </c>
      <c r="E55" s="6">
        <v>4300000</v>
      </c>
      <c r="F55" s="4">
        <f t="shared" si="1"/>
        <v>86000</v>
      </c>
      <c r="G55" s="6">
        <f t="shared" si="8"/>
        <v>1183796.5</v>
      </c>
      <c r="H55" s="10">
        <f t="shared" si="9"/>
        <v>0.39066567641414185</v>
      </c>
    </row>
    <row r="56" spans="1:9" x14ac:dyDescent="0.25">
      <c r="A56" s="8">
        <v>46039</v>
      </c>
      <c r="B56" s="7" t="s">
        <v>8</v>
      </c>
      <c r="C56" s="7" t="s">
        <v>28</v>
      </c>
      <c r="D56" s="6">
        <v>3000000</v>
      </c>
      <c r="E56" s="6">
        <v>4111111</v>
      </c>
      <c r="F56" s="4">
        <f t="shared" si="1"/>
        <v>82222.22</v>
      </c>
      <c r="G56" s="6">
        <f t="shared" ref="G56:G57" si="10">E56-F56-D56</f>
        <v>1028888.7799999998</v>
      </c>
      <c r="H56" s="10">
        <f t="shared" ref="H56:H57" si="11">G56/D56</f>
        <v>0.34296292666666661</v>
      </c>
    </row>
    <row r="57" spans="1:9" x14ac:dyDescent="0.25">
      <c r="A57" s="8">
        <v>46039</v>
      </c>
      <c r="B57" s="7" t="s">
        <v>8</v>
      </c>
      <c r="C57" s="7" t="s">
        <v>29</v>
      </c>
      <c r="D57" s="6">
        <v>1450000</v>
      </c>
      <c r="E57" s="6">
        <v>2444444</v>
      </c>
      <c r="F57" s="4">
        <f t="shared" si="1"/>
        <v>48888.880000000005</v>
      </c>
      <c r="G57" s="6">
        <f t="shared" si="10"/>
        <v>945555.12000000011</v>
      </c>
      <c r="H57" s="10">
        <f t="shared" si="11"/>
        <v>0.65210697931034489</v>
      </c>
      <c r="I57" t="s">
        <v>35</v>
      </c>
    </row>
    <row r="58" spans="1:9" x14ac:dyDescent="0.25">
      <c r="A58" s="8">
        <v>46040</v>
      </c>
      <c r="B58" s="7" t="s">
        <v>8</v>
      </c>
      <c r="C58" s="7" t="s">
        <v>14</v>
      </c>
      <c r="D58" s="6">
        <f>(8310886-7349689)/5</f>
        <v>192239.4</v>
      </c>
      <c r="E58" s="6">
        <v>251111</v>
      </c>
      <c r="F58" s="4">
        <f t="shared" ref="F58:F62" si="12">E58*0.02</f>
        <v>5022.22</v>
      </c>
      <c r="G58" s="6">
        <f t="shared" ref="G58:G62" si="13">E58-F58-D58</f>
        <v>53849.380000000005</v>
      </c>
      <c r="H58" s="10">
        <f t="shared" ref="H58:H62" si="14">G58/D58</f>
        <v>0.28011625088301362</v>
      </c>
    </row>
    <row r="59" spans="1:9" x14ac:dyDescent="0.25">
      <c r="A59" s="8">
        <v>46040</v>
      </c>
      <c r="B59" s="7" t="s">
        <v>8</v>
      </c>
      <c r="C59" s="7" t="s">
        <v>14</v>
      </c>
      <c r="D59" s="6">
        <f t="shared" ref="D59:D62" si="15">(8310886-7349689)/5</f>
        <v>192239.4</v>
      </c>
      <c r="E59" s="6">
        <v>251111</v>
      </c>
      <c r="F59" s="4">
        <f t="shared" si="12"/>
        <v>5022.22</v>
      </c>
      <c r="G59" s="6">
        <f t="shared" si="13"/>
        <v>53849.380000000005</v>
      </c>
      <c r="H59" s="10">
        <f t="shared" si="14"/>
        <v>0.28011625088301362</v>
      </c>
    </row>
    <row r="60" spans="1:9" x14ac:dyDescent="0.25">
      <c r="A60" s="8">
        <v>46040</v>
      </c>
      <c r="B60" s="7" t="s">
        <v>8</v>
      </c>
      <c r="C60" s="7" t="s">
        <v>14</v>
      </c>
      <c r="D60" s="6">
        <f t="shared" si="15"/>
        <v>192239.4</v>
      </c>
      <c r="E60" s="6">
        <v>251111</v>
      </c>
      <c r="F60" s="4">
        <f t="shared" si="12"/>
        <v>5022.22</v>
      </c>
      <c r="G60" s="6">
        <f t="shared" si="13"/>
        <v>53849.380000000005</v>
      </c>
      <c r="H60" s="10">
        <f t="shared" si="14"/>
        <v>0.28011625088301362</v>
      </c>
    </row>
    <row r="61" spans="1:9" x14ac:dyDescent="0.25">
      <c r="A61" s="8">
        <v>46040</v>
      </c>
      <c r="B61" s="7" t="s">
        <v>8</v>
      </c>
      <c r="C61" s="7" t="s">
        <v>14</v>
      </c>
      <c r="D61" s="6">
        <f t="shared" si="15"/>
        <v>192239.4</v>
      </c>
      <c r="E61" s="6">
        <v>251111</v>
      </c>
      <c r="F61" s="4">
        <f t="shared" si="12"/>
        <v>5022.22</v>
      </c>
      <c r="G61" s="6">
        <f t="shared" si="13"/>
        <v>53849.380000000005</v>
      </c>
      <c r="H61" s="10">
        <f t="shared" si="14"/>
        <v>0.28011625088301362</v>
      </c>
    </row>
    <row r="62" spans="1:9" x14ac:dyDescent="0.25">
      <c r="A62" s="8">
        <v>46040</v>
      </c>
      <c r="B62" s="7" t="s">
        <v>8</v>
      </c>
      <c r="C62" s="7" t="s">
        <v>14</v>
      </c>
      <c r="D62" s="6">
        <f t="shared" si="15"/>
        <v>192239.4</v>
      </c>
      <c r="E62" s="6">
        <v>251111</v>
      </c>
      <c r="F62" s="4">
        <f t="shared" si="12"/>
        <v>5022.22</v>
      </c>
      <c r="G62" s="6">
        <f t="shared" si="13"/>
        <v>53849.380000000005</v>
      </c>
      <c r="H62" s="10">
        <f t="shared" si="14"/>
        <v>0.28011625088301362</v>
      </c>
    </row>
    <row r="63" spans="1:9" x14ac:dyDescent="0.25">
      <c r="A63" s="8">
        <v>46040</v>
      </c>
      <c r="B63" s="7" t="s">
        <v>30</v>
      </c>
      <c r="C63" s="7" t="s">
        <v>21</v>
      </c>
      <c r="D63" s="6">
        <v>1220000</v>
      </c>
      <c r="E63" s="6">
        <v>2333333</v>
      </c>
      <c r="F63" s="4">
        <f t="shared" ref="F63:F69" si="16">E63*0.02</f>
        <v>46666.66</v>
      </c>
      <c r="G63" s="6">
        <f t="shared" ref="G63:G69" si="17">E63-F63-D63</f>
        <v>1066666.3399999999</v>
      </c>
      <c r="H63" s="10">
        <f t="shared" ref="H63:H69" si="18">G63/D63</f>
        <v>0.87431667213114739</v>
      </c>
    </row>
    <row r="64" spans="1:9" x14ac:dyDescent="0.25">
      <c r="A64" s="8">
        <v>46040</v>
      </c>
      <c r="B64" s="7" t="s">
        <v>30</v>
      </c>
      <c r="C64" s="7" t="s">
        <v>21</v>
      </c>
      <c r="D64" s="6">
        <v>1220000</v>
      </c>
      <c r="E64" s="6">
        <v>2333333</v>
      </c>
      <c r="F64" s="4">
        <f t="shared" si="16"/>
        <v>46666.66</v>
      </c>
      <c r="G64" s="6">
        <f t="shared" si="17"/>
        <v>1066666.3399999999</v>
      </c>
      <c r="H64" s="10">
        <f t="shared" si="18"/>
        <v>0.87431667213114739</v>
      </c>
    </row>
    <row r="65" spans="1:8" x14ac:dyDescent="0.25">
      <c r="A65" s="8">
        <v>46040</v>
      </c>
      <c r="B65" s="7" t="s">
        <v>30</v>
      </c>
      <c r="C65" s="7" t="s">
        <v>15</v>
      </c>
      <c r="D65" s="6">
        <v>330000</v>
      </c>
      <c r="E65" s="6">
        <v>445555</v>
      </c>
      <c r="F65" s="4">
        <f t="shared" si="16"/>
        <v>8911.1</v>
      </c>
      <c r="G65" s="6">
        <f t="shared" si="17"/>
        <v>106643.90000000002</v>
      </c>
      <c r="H65" s="10">
        <f t="shared" si="18"/>
        <v>0.32316333333333341</v>
      </c>
    </row>
    <row r="66" spans="1:8" x14ac:dyDescent="0.25">
      <c r="A66" s="8">
        <v>46040</v>
      </c>
      <c r="B66" s="7" t="s">
        <v>30</v>
      </c>
      <c r="C66" s="7" t="s">
        <v>15</v>
      </c>
      <c r="D66" s="6">
        <v>330000</v>
      </c>
      <c r="E66" s="6">
        <v>445555</v>
      </c>
      <c r="F66" s="4">
        <f t="shared" si="16"/>
        <v>8911.1</v>
      </c>
      <c r="G66" s="6">
        <f t="shared" si="17"/>
        <v>106643.90000000002</v>
      </c>
      <c r="H66" s="10">
        <f t="shared" si="18"/>
        <v>0.32316333333333341</v>
      </c>
    </row>
    <row r="67" spans="1:8" x14ac:dyDescent="0.25">
      <c r="A67" s="8">
        <v>46040</v>
      </c>
      <c r="B67" s="7" t="s">
        <v>30</v>
      </c>
      <c r="C67" s="7" t="s">
        <v>15</v>
      </c>
      <c r="D67" s="6">
        <v>330000</v>
      </c>
      <c r="E67" s="6">
        <v>445555</v>
      </c>
      <c r="F67" s="4">
        <f t="shared" si="16"/>
        <v>8911.1</v>
      </c>
      <c r="G67" s="6">
        <f t="shared" si="17"/>
        <v>106643.90000000002</v>
      </c>
      <c r="H67" s="10">
        <f t="shared" si="18"/>
        <v>0.32316333333333341</v>
      </c>
    </row>
    <row r="68" spans="1:8" x14ac:dyDescent="0.25">
      <c r="A68" s="8">
        <v>46040</v>
      </c>
      <c r="B68" s="7" t="s">
        <v>30</v>
      </c>
      <c r="C68" s="7" t="s">
        <v>15</v>
      </c>
      <c r="D68" s="6">
        <v>330000</v>
      </c>
      <c r="E68" s="6">
        <v>445555</v>
      </c>
      <c r="F68" s="4">
        <f t="shared" si="16"/>
        <v>8911.1</v>
      </c>
      <c r="G68" s="6">
        <f t="shared" si="17"/>
        <v>106643.90000000002</v>
      </c>
      <c r="H68" s="10">
        <f t="shared" si="18"/>
        <v>0.32316333333333341</v>
      </c>
    </row>
    <row r="69" spans="1:8" x14ac:dyDescent="0.25">
      <c r="A69" s="8">
        <v>46040</v>
      </c>
      <c r="B69" s="7" t="s">
        <v>8</v>
      </c>
      <c r="C69" s="7" t="s">
        <v>15</v>
      </c>
      <c r="D69" s="6">
        <v>330000</v>
      </c>
      <c r="E69" s="6">
        <v>455555</v>
      </c>
      <c r="F69" s="4">
        <f t="shared" si="16"/>
        <v>9111.1</v>
      </c>
      <c r="G69" s="6">
        <f t="shared" si="17"/>
        <v>116443.90000000002</v>
      </c>
      <c r="H69" s="10">
        <f t="shared" si="18"/>
        <v>0.35286030303030308</v>
      </c>
    </row>
    <row r="70" spans="1:8" x14ac:dyDescent="0.25">
      <c r="A70" s="8">
        <v>46040</v>
      </c>
      <c r="B70" s="7" t="s">
        <v>30</v>
      </c>
      <c r="C70" s="7" t="s">
        <v>21</v>
      </c>
      <c r="D70" s="6">
        <v>1220000</v>
      </c>
      <c r="E70" s="6">
        <v>2450000</v>
      </c>
      <c r="F70" s="4">
        <f t="shared" ref="F70:F73" si="19">E70*0.02</f>
        <v>49000</v>
      </c>
      <c r="G70" s="6">
        <f t="shared" ref="G70:G73" si="20">E70-F70-D70</f>
        <v>1181000</v>
      </c>
      <c r="H70" s="10">
        <f t="shared" ref="H70:H73" si="21">G70/D70</f>
        <v>0.96803278688524586</v>
      </c>
    </row>
    <row r="71" spans="1:8" x14ac:dyDescent="0.25">
      <c r="A71" s="8">
        <v>46040</v>
      </c>
      <c r="B71" s="7" t="s">
        <v>8</v>
      </c>
      <c r="C71" s="7" t="s">
        <v>21</v>
      </c>
      <c r="D71" s="6">
        <v>1220000</v>
      </c>
      <c r="E71" s="6">
        <v>2450000</v>
      </c>
      <c r="F71" s="4">
        <f t="shared" si="19"/>
        <v>49000</v>
      </c>
      <c r="G71" s="6">
        <f t="shared" si="20"/>
        <v>1181000</v>
      </c>
      <c r="H71" s="10">
        <f t="shared" si="21"/>
        <v>0.96803278688524586</v>
      </c>
    </row>
    <row r="72" spans="1:8" x14ac:dyDescent="0.25">
      <c r="A72" s="8">
        <v>46040</v>
      </c>
      <c r="B72" s="7" t="s">
        <v>8</v>
      </c>
      <c r="C72" s="7" t="s">
        <v>21</v>
      </c>
      <c r="D72" s="6">
        <v>1220000</v>
      </c>
      <c r="E72" s="6">
        <v>2450000</v>
      </c>
      <c r="F72" s="4">
        <f t="shared" si="19"/>
        <v>49000</v>
      </c>
      <c r="G72" s="6">
        <f t="shared" si="20"/>
        <v>1181000</v>
      </c>
      <c r="H72" s="10">
        <f t="shared" si="21"/>
        <v>0.96803278688524586</v>
      </c>
    </row>
    <row r="73" spans="1:8" x14ac:dyDescent="0.25">
      <c r="A73" s="8">
        <v>46040</v>
      </c>
      <c r="B73" s="7" t="s">
        <v>8</v>
      </c>
      <c r="C73" s="7" t="s">
        <v>15</v>
      </c>
      <c r="D73" s="6">
        <v>330000</v>
      </c>
      <c r="E73" s="6">
        <v>444444</v>
      </c>
      <c r="F73" s="4">
        <f t="shared" ref="F73:F78" si="22">E73*0.02</f>
        <v>8888.880000000001</v>
      </c>
      <c r="G73" s="6">
        <f t="shared" ref="G73:G78" si="23">E73-F73-D73</f>
        <v>105555.12</v>
      </c>
      <c r="H73" s="10">
        <f t="shared" ref="H73:H78" si="24">G73/D73</f>
        <v>0.31986399999999998</v>
      </c>
    </row>
    <row r="74" spans="1:8" x14ac:dyDescent="0.25">
      <c r="A74" s="8">
        <v>46040</v>
      </c>
      <c r="B74" s="7" t="s">
        <v>8</v>
      </c>
      <c r="C74" s="7" t="s">
        <v>15</v>
      </c>
      <c r="D74" s="6">
        <v>330000</v>
      </c>
      <c r="E74" s="6">
        <v>444444</v>
      </c>
      <c r="F74" s="4">
        <f t="shared" si="22"/>
        <v>8888.880000000001</v>
      </c>
      <c r="G74" s="6">
        <f t="shared" si="23"/>
        <v>105555.12</v>
      </c>
      <c r="H74" s="10">
        <f t="shared" si="24"/>
        <v>0.31986399999999998</v>
      </c>
    </row>
    <row r="75" spans="1:8" x14ac:dyDescent="0.25">
      <c r="A75" s="8">
        <v>46040</v>
      </c>
      <c r="B75" s="7" t="s">
        <v>8</v>
      </c>
      <c r="C75" s="7" t="s">
        <v>15</v>
      </c>
      <c r="D75" s="6">
        <v>330000</v>
      </c>
      <c r="E75" s="6">
        <v>444444</v>
      </c>
      <c r="F75" s="4">
        <f t="shared" si="22"/>
        <v>8888.880000000001</v>
      </c>
      <c r="G75" s="6">
        <f t="shared" si="23"/>
        <v>105555.12</v>
      </c>
      <c r="H75" s="10">
        <f t="shared" si="24"/>
        <v>0.31986399999999998</v>
      </c>
    </row>
    <row r="76" spans="1:8" x14ac:dyDescent="0.25">
      <c r="A76" s="8">
        <v>46040</v>
      </c>
      <c r="B76" s="7" t="s">
        <v>8</v>
      </c>
      <c r="C76" s="7" t="s">
        <v>15</v>
      </c>
      <c r="D76" s="6">
        <v>330000</v>
      </c>
      <c r="E76" s="6">
        <v>444444</v>
      </c>
      <c r="F76" s="4">
        <f t="shared" si="22"/>
        <v>8888.880000000001</v>
      </c>
      <c r="G76" s="6">
        <f t="shared" si="23"/>
        <v>105555.12</v>
      </c>
      <c r="H76" s="10">
        <f t="shared" si="24"/>
        <v>0.31986399999999998</v>
      </c>
    </row>
    <row r="77" spans="1:8" x14ac:dyDescent="0.25">
      <c r="A77" s="8">
        <v>46040</v>
      </c>
      <c r="B77" s="7" t="s">
        <v>8</v>
      </c>
      <c r="C77" s="7" t="s">
        <v>15</v>
      </c>
      <c r="D77" s="6">
        <v>330000</v>
      </c>
      <c r="E77" s="6">
        <v>444444</v>
      </c>
      <c r="F77" s="4">
        <f t="shared" si="22"/>
        <v>8888.880000000001</v>
      </c>
      <c r="G77" s="6">
        <f t="shared" si="23"/>
        <v>105555.12</v>
      </c>
      <c r="H77" s="10">
        <f t="shared" si="24"/>
        <v>0.31986399999999998</v>
      </c>
    </row>
    <row r="78" spans="1:8" x14ac:dyDescent="0.25">
      <c r="A78" s="8">
        <v>46040</v>
      </c>
      <c r="B78" s="7" t="s">
        <v>8</v>
      </c>
      <c r="C78" s="7" t="s">
        <v>36</v>
      </c>
      <c r="D78" s="6">
        <v>1000000</v>
      </c>
      <c r="E78" s="6">
        <v>1500000</v>
      </c>
      <c r="F78" s="4">
        <f t="shared" ref="F78" si="25">E78*0.02</f>
        <v>30000</v>
      </c>
      <c r="G78" s="6">
        <f t="shared" ref="G78" si="26">E78-F78-D78</f>
        <v>470000</v>
      </c>
      <c r="H78" s="10">
        <f t="shared" ref="H78" si="27">G78/D78</f>
        <v>0.47</v>
      </c>
    </row>
    <row r="79" spans="1:8" x14ac:dyDescent="0.25">
      <c r="A79" s="8">
        <v>46040</v>
      </c>
      <c r="B79" s="7" t="s">
        <v>8</v>
      </c>
      <c r="C79" s="7" t="s">
        <v>36</v>
      </c>
      <c r="D79" s="6">
        <f>(2880528-1871308)/2</f>
        <v>504610</v>
      </c>
    </row>
    <row r="80" spans="1:8" x14ac:dyDescent="0.25">
      <c r="A80" s="8">
        <v>46040</v>
      </c>
      <c r="B80" s="7" t="s">
        <v>8</v>
      </c>
      <c r="C80" s="7" t="s">
        <v>36</v>
      </c>
      <c r="D80" s="6">
        <f>(2880528-1871308)/2</f>
        <v>504610</v>
      </c>
    </row>
    <row r="81" spans="1:4" x14ac:dyDescent="0.25">
      <c r="A81" s="8">
        <v>46040</v>
      </c>
      <c r="B81" s="7" t="s">
        <v>8</v>
      </c>
      <c r="C81" s="7" t="s">
        <v>37</v>
      </c>
      <c r="D81" s="6">
        <f>5076442-2880528</f>
        <v>2195914</v>
      </c>
    </row>
  </sheetData>
  <conditionalFormatting sqref="A2:H1048576">
    <cfRule type="expression" dxfId="2" priority="2">
      <formula>$B2="Non"</formula>
    </cfRule>
    <cfRule type="expression" dxfId="1" priority="3">
      <formula>$B2="Oui"</formula>
    </cfRule>
  </conditionalFormatting>
  <conditionalFormatting sqref="L2">
    <cfRule type="cellIs" dxfId="0" priority="1" operator="greaterThan">
      <formula>0</formula>
    </cfRule>
  </conditionalFormatting>
  <dataValidations count="3">
    <dataValidation allowBlank="1" showInputMessage="1" showErrorMessage="1" errorTitle="Données non valides" error="Veuillez choisir dans la liste déroulante" sqref="B1" xr:uid="{D06281CC-5716-41A3-A76E-109C9D2B0205}"/>
    <dataValidation type="decimal" operator="greaterThanOrEqual" allowBlank="1" showDropDown="1" showInputMessage="1" showErrorMessage="1" prompt="Enter a number greater than or equal to 0" sqref="D2:E11" xr:uid="{085A3A47-41D1-401B-9011-A057EF53DA7F}">
      <formula1>0</formula1>
    </dataValidation>
    <dataValidation type="list" allowBlank="1" showInputMessage="1" showErrorMessage="1" errorTitle="Données non valides" error="Veuillez choisir dans la liste déroulante" sqref="B2:B1048576" xr:uid="{ED453587-E1E6-47A1-915E-80851A2BE3A2}">
      <formula1>"Oui,Non"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Orukam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LIEVRE</dc:creator>
  <cp:lastModifiedBy>Hugo LIEVRE</cp:lastModifiedBy>
  <dcterms:created xsi:type="dcterms:W3CDTF">2024-09-11T20:53:12Z</dcterms:created>
  <dcterms:modified xsi:type="dcterms:W3CDTF">2026-01-18T17:18:13Z</dcterms:modified>
</cp:coreProperties>
</file>